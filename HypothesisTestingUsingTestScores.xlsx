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rice-my.sharepoint.com/personal/gm47_rice_edu/Documents/Data Science/BusinessApplicationsOfHypothesisTestingAndConfidenceIntervalEstimation/Module4/"/>
    </mc:Choice>
  </mc:AlternateContent>
  <xr:revisionPtr revIDLastSave="101" documentId="11_8F62CDD39DE5313F4B2DF4CFCCE29E23381AFF4B" xr6:coauthVersionLast="47" xr6:coauthVersionMax="47" xr10:uidLastSave="{64934A7C-A4F0-412F-A4AF-7122901AF09A}"/>
  <bookViews>
    <workbookView xWindow="-98" yWindow="-98" windowWidth="28996" windowHeight="15675" xr2:uid="{00000000-000D-0000-FFFF-FFFF00000000}"/>
  </bookViews>
  <sheets>
    <sheet name="Intern Scores" sheetId="1" r:id="rId1"/>
    <sheet name="Intern Scores by Gender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" l="1"/>
  <c r="G19" i="2"/>
  <c r="H24" i="1"/>
  <c r="H23" i="1"/>
</calcChain>
</file>

<file path=xl/sharedStrings.xml><?xml version="1.0" encoding="utf-8"?>
<sst xmlns="http://schemas.openxmlformats.org/spreadsheetml/2006/main" count="92" uniqueCount="34">
  <si>
    <t>Intern Number</t>
  </si>
  <si>
    <t>Original Score</t>
  </si>
  <si>
    <t>Score After Training</t>
  </si>
  <si>
    <t xml:space="preserve">Gender </t>
  </si>
  <si>
    <t>Age</t>
  </si>
  <si>
    <t>M</t>
  </si>
  <si>
    <t>F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</si>
  <si>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</si>
  <si>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</si>
  <si>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</si>
  <si>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</si>
  <si>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</si>
  <si>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</si>
  <si>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</si>
  <si>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</si>
  <si>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</si>
  <si>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</si>
  <si>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</si>
  <si>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</si>
  <si>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t-statistic</t>
  </si>
  <si>
    <t>t-cutoff</t>
  </si>
  <si>
    <t>Conclusion</t>
  </si>
  <si>
    <t>Average score for the female interns</t>
  </si>
  <si>
    <t>Average score for the male interns</t>
  </si>
  <si>
    <t>Column Labels</t>
  </si>
  <si>
    <t>Row Labels</t>
  </si>
  <si>
    <t>Sum of Score After Training</t>
  </si>
  <si>
    <t>t-Test: Two-Sample Assuming Equal Variances</t>
  </si>
  <si>
    <t>Pooled Variance</t>
  </si>
  <si>
    <t>H0 = \mu_female - \mu_male = 0</t>
  </si>
  <si>
    <t>HA = \mu_female - \mu_male != 0</t>
  </si>
  <si>
    <t>H0 = \mu_after - \mu_before &gt;= 0</t>
  </si>
  <si>
    <t>HA = \mu_after - \mu_before &lt; 0</t>
  </si>
  <si>
    <t>We fail to reject the Null hypothesis 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</si>
</sst>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ce Molina" refreshedDate="46265.81737650463" createdVersion="8" refreshedVersion="8" minRefreshableVersion="3" recordCount="40" xr:uid="{C5E32738-01FD-428D-BAC8-DF662E8A7C09}">
  <cacheSource type="worksheet">
    <worksheetSource ref="A1:E41" sheet="Intern Scores"/>
  </cacheSource>
  <cacheFields count="5">
    <cacheField name="Intern Number" numFmtId="0">
      <sharedItems containsSemiMixedTypes="0" containsString="0" containsNumber="1" containsInteger="1" minValue="1" maxValue="40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  <cacheField name="Original Score" numFmtId="0">
      <sharedItems containsSemiMixedTypes="0" containsString="0" containsNumber="1" containsInteger="1" minValue="50" maxValue="93"/>
    </cacheField>
    <cacheField name="Score After Training" numFmtId="0">
      <sharedItems containsSemiMixedTypes="0" containsString="0" containsNumber="1" containsInteger="1" minValue="72" maxValue="100"/>
    </cacheField>
    <cacheField name="Gender " numFmtId="0">
      <sharedItems count="2">
        <s v="M"/>
        <s v="F"/>
      </sharedItems>
    </cacheField>
    <cacheField name="Age" numFmtId="0">
      <sharedItems containsSemiMixedTypes="0" containsString="0" containsNumber="1" containsInteger="1" minValue="17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60"/>
    <n v="72"/>
    <x v="0"/>
    <n v="19"/>
  </r>
  <r>
    <x v="1"/>
    <n v="82"/>
    <n v="91"/>
    <x v="1"/>
    <n v="23"/>
  </r>
  <r>
    <x v="2"/>
    <n v="84"/>
    <n v="87"/>
    <x v="1"/>
    <n v="19"/>
  </r>
  <r>
    <x v="3"/>
    <n v="57"/>
    <n v="79"/>
    <x v="0"/>
    <n v="19"/>
  </r>
  <r>
    <x v="4"/>
    <n v="93"/>
    <n v="94"/>
    <x v="0"/>
    <n v="20"/>
  </r>
  <r>
    <x v="5"/>
    <n v="92"/>
    <n v="93"/>
    <x v="0"/>
    <n v="18"/>
  </r>
  <r>
    <x v="6"/>
    <n v="86"/>
    <n v="88"/>
    <x v="1"/>
    <n v="19"/>
  </r>
  <r>
    <x v="7"/>
    <n v="58"/>
    <n v="93"/>
    <x v="0"/>
    <n v="19"/>
  </r>
  <r>
    <x v="8"/>
    <n v="68"/>
    <n v="87"/>
    <x v="1"/>
    <n v="17"/>
  </r>
  <r>
    <x v="9"/>
    <n v="86"/>
    <n v="76"/>
    <x v="1"/>
    <n v="23"/>
  </r>
  <r>
    <x v="10"/>
    <n v="66"/>
    <n v="92"/>
    <x v="0"/>
    <n v="18"/>
  </r>
  <r>
    <x v="11"/>
    <n v="92"/>
    <n v="98"/>
    <x v="1"/>
    <n v="18"/>
  </r>
  <r>
    <x v="12"/>
    <n v="90"/>
    <n v="78"/>
    <x v="1"/>
    <n v="19"/>
  </r>
  <r>
    <x v="13"/>
    <n v="50"/>
    <n v="86"/>
    <x v="0"/>
    <n v="19"/>
  </r>
  <r>
    <x v="14"/>
    <n v="57"/>
    <n v="97"/>
    <x v="0"/>
    <n v="21"/>
  </r>
  <r>
    <x v="15"/>
    <n v="91"/>
    <n v="90"/>
    <x v="0"/>
    <n v="17"/>
  </r>
  <r>
    <x v="16"/>
    <n v="91"/>
    <n v="84"/>
    <x v="1"/>
    <n v="18"/>
  </r>
  <r>
    <x v="17"/>
    <n v="66"/>
    <n v="89"/>
    <x v="0"/>
    <n v="21"/>
  </r>
  <r>
    <x v="18"/>
    <n v="54"/>
    <n v="91"/>
    <x v="1"/>
    <n v="23"/>
  </r>
  <r>
    <x v="19"/>
    <n v="59"/>
    <n v="80"/>
    <x v="1"/>
    <n v="17"/>
  </r>
  <r>
    <x v="20"/>
    <n v="67"/>
    <n v="85"/>
    <x v="1"/>
    <n v="22"/>
  </r>
  <r>
    <x v="21"/>
    <n v="65"/>
    <n v="92"/>
    <x v="1"/>
    <n v="20"/>
  </r>
  <r>
    <x v="22"/>
    <n v="90"/>
    <n v="79"/>
    <x v="0"/>
    <n v="18"/>
  </r>
  <r>
    <x v="23"/>
    <n v="52"/>
    <n v="96"/>
    <x v="1"/>
    <n v="23"/>
  </r>
  <r>
    <x v="24"/>
    <n v="93"/>
    <n v="73"/>
    <x v="1"/>
    <n v="21"/>
  </r>
  <r>
    <x v="25"/>
    <n v="50"/>
    <n v="100"/>
    <x v="0"/>
    <n v="22"/>
  </r>
  <r>
    <x v="26"/>
    <n v="89"/>
    <n v="76"/>
    <x v="1"/>
    <n v="18"/>
  </r>
  <r>
    <x v="27"/>
    <n v="75"/>
    <n v="80"/>
    <x v="0"/>
    <n v="22"/>
  </r>
  <r>
    <x v="28"/>
    <n v="76"/>
    <n v="99"/>
    <x v="1"/>
    <n v="22"/>
  </r>
  <r>
    <x v="29"/>
    <n v="84"/>
    <n v="83"/>
    <x v="0"/>
    <n v="20"/>
  </r>
  <r>
    <x v="30"/>
    <n v="92"/>
    <n v="76"/>
    <x v="0"/>
    <n v="19"/>
  </r>
  <r>
    <x v="31"/>
    <n v="73"/>
    <n v="94"/>
    <x v="1"/>
    <n v="23"/>
  </r>
  <r>
    <x v="32"/>
    <n v="70"/>
    <n v="72"/>
    <x v="0"/>
    <n v="23"/>
  </r>
  <r>
    <x v="33"/>
    <n v="66"/>
    <n v="78"/>
    <x v="0"/>
    <n v="20"/>
  </r>
  <r>
    <x v="34"/>
    <n v="88"/>
    <n v="91"/>
    <x v="0"/>
    <n v="21"/>
  </r>
  <r>
    <x v="35"/>
    <n v="85"/>
    <n v="84"/>
    <x v="1"/>
    <n v="18"/>
  </r>
  <r>
    <x v="36"/>
    <n v="55"/>
    <n v="75"/>
    <x v="1"/>
    <n v="18"/>
  </r>
  <r>
    <x v="37"/>
    <n v="60"/>
    <n v="97"/>
    <x v="1"/>
    <n v="23"/>
  </r>
  <r>
    <x v="38"/>
    <n v="82"/>
    <n v="77"/>
    <x v="0"/>
    <n v="23"/>
  </r>
  <r>
    <x v="39"/>
    <n v="90"/>
    <n v="86"/>
    <x v="0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78407-71A8-4B40-A901-8EBBBA037AD1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C44" firstHeaderRow="1" firstDataRow="2" firstDataCol="1"/>
  <pivotFields count="5"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dataField="1" showAll="0"/>
    <pivotField axis="axisCol" showAll="0">
      <items count="3">
        <item x="1"/>
        <item x="0"/>
        <item t="default"/>
      </items>
    </pivotField>
    <pivotField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</rowItems>
  <colFields count="1">
    <field x="3"/>
  </colFields>
  <colItems count="2">
    <i>
      <x/>
    </i>
    <i>
      <x v="1"/>
    </i>
  </colItems>
  <dataFields count="1">
    <dataField name="Sum of Score After Training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G25" sqref="G25"/>
    </sheetView>
  </sheetViews>
  <sheetFormatPr defaultRowHeight="14.25" x14ac:dyDescent="0.45"/>
  <cols>
    <col min="1" max="1" width="14.265625" bestFit="1" customWidth="1"/>
    <col min="2" max="2" width="13.3984375" bestFit="1" customWidth="1"/>
    <col min="3" max="3" width="18.73046875" bestFit="1" customWidth="1"/>
    <col min="4" max="4" width="8" bestFit="1" customWidth="1"/>
    <col min="5" max="5" width="4.3984375" bestFit="1" customWidth="1"/>
    <col min="7" max="7" width="31.19921875" customWidth="1"/>
    <col min="8" max="8" width="18.33203125" customWidth="1"/>
    <col min="9" max="9" width="13.0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45">
      <c r="A2">
        <v>1</v>
      </c>
      <c r="B2">
        <v>60</v>
      </c>
      <c r="C2">
        <v>72</v>
      </c>
      <c r="D2" t="s">
        <v>5</v>
      </c>
      <c r="E2">
        <v>19</v>
      </c>
    </row>
    <row r="3" spans="1:9" x14ac:dyDescent="0.45">
      <c r="A3">
        <v>2</v>
      </c>
      <c r="B3">
        <v>82</v>
      </c>
      <c r="C3">
        <v>91</v>
      </c>
      <c r="D3" t="s">
        <v>6</v>
      </c>
      <c r="E3">
        <v>23</v>
      </c>
      <c r="G3" t="s">
        <v>7</v>
      </c>
    </row>
    <row r="4" spans="1:9" ht="14.65" thickBot="1" x14ac:dyDescent="0.5">
      <c r="A4">
        <v>3</v>
      </c>
      <c r="B4">
        <v>84</v>
      </c>
      <c r="C4">
        <v>87</v>
      </c>
      <c r="D4" t="s">
        <v>6</v>
      </c>
      <c r="E4">
        <v>19</v>
      </c>
    </row>
    <row r="5" spans="1:9" x14ac:dyDescent="0.45">
      <c r="A5">
        <v>4</v>
      </c>
      <c r="B5">
        <v>57</v>
      </c>
      <c r="C5">
        <v>79</v>
      </c>
      <c r="D5" t="s">
        <v>5</v>
      </c>
      <c r="E5">
        <v>19</v>
      </c>
      <c r="G5" s="3"/>
      <c r="H5" s="3" t="s">
        <v>2</v>
      </c>
      <c r="I5" s="3" t="s">
        <v>1</v>
      </c>
    </row>
    <row r="6" spans="1:9" x14ac:dyDescent="0.45">
      <c r="A6">
        <v>5</v>
      </c>
      <c r="B6">
        <v>93</v>
      </c>
      <c r="C6">
        <v>94</v>
      </c>
      <c r="D6" t="s">
        <v>5</v>
      </c>
      <c r="E6">
        <v>20</v>
      </c>
      <c r="G6" s="1" t="s">
        <v>8</v>
      </c>
      <c r="H6" s="1">
        <v>85.95</v>
      </c>
      <c r="I6" s="1">
        <v>74.599999999999994</v>
      </c>
    </row>
    <row r="7" spans="1:9" x14ac:dyDescent="0.45">
      <c r="A7">
        <v>6</v>
      </c>
      <c r="B7">
        <v>92</v>
      </c>
      <c r="C7">
        <v>93</v>
      </c>
      <c r="D7" t="s">
        <v>5</v>
      </c>
      <c r="E7">
        <v>18</v>
      </c>
      <c r="G7" s="1" t="s">
        <v>9</v>
      </c>
      <c r="H7" s="1">
        <v>67.535897435897468</v>
      </c>
      <c r="I7" s="1">
        <v>215.68205128205142</v>
      </c>
    </row>
    <row r="8" spans="1:9" x14ac:dyDescent="0.45">
      <c r="A8">
        <v>7</v>
      </c>
      <c r="B8">
        <v>86</v>
      </c>
      <c r="C8">
        <v>88</v>
      </c>
      <c r="D8" t="s">
        <v>6</v>
      </c>
      <c r="E8">
        <v>19</v>
      </c>
      <c r="G8" s="1" t="s">
        <v>10</v>
      </c>
      <c r="H8" s="1">
        <v>40</v>
      </c>
      <c r="I8" s="1">
        <v>40</v>
      </c>
    </row>
    <row r="9" spans="1:9" x14ac:dyDescent="0.45">
      <c r="A9">
        <v>8</v>
      </c>
      <c r="B9">
        <v>58</v>
      </c>
      <c r="C9">
        <v>93</v>
      </c>
      <c r="D9" t="s">
        <v>5</v>
      </c>
      <c r="E9">
        <v>19</v>
      </c>
      <c r="G9" s="1" t="s">
        <v>11</v>
      </c>
      <c r="H9" s="1">
        <v>-0.18606555964266772</v>
      </c>
      <c r="I9" s="1"/>
    </row>
    <row r="10" spans="1:9" x14ac:dyDescent="0.45">
      <c r="A10">
        <v>9</v>
      </c>
      <c r="B10">
        <v>68</v>
      </c>
      <c r="C10">
        <v>87</v>
      </c>
      <c r="D10" t="s">
        <v>6</v>
      </c>
      <c r="E10">
        <v>17</v>
      </c>
      <c r="G10" s="1" t="s">
        <v>12</v>
      </c>
      <c r="H10" s="1">
        <v>0</v>
      </c>
      <c r="I10" s="1"/>
    </row>
    <row r="11" spans="1:9" x14ac:dyDescent="0.45">
      <c r="A11">
        <v>10</v>
      </c>
      <c r="B11">
        <v>86</v>
      </c>
      <c r="C11">
        <v>76</v>
      </c>
      <c r="D11" t="s">
        <v>6</v>
      </c>
      <c r="E11">
        <v>23</v>
      </c>
      <c r="G11" s="1" t="s">
        <v>13</v>
      </c>
      <c r="H11" s="1">
        <v>39</v>
      </c>
      <c r="I11" s="1"/>
    </row>
    <row r="12" spans="1:9" x14ac:dyDescent="0.45">
      <c r="A12">
        <v>11</v>
      </c>
      <c r="B12">
        <v>66</v>
      </c>
      <c r="C12">
        <v>92</v>
      </c>
      <c r="D12" t="s">
        <v>5</v>
      </c>
      <c r="E12">
        <v>18</v>
      </c>
      <c r="G12" s="1" t="s">
        <v>14</v>
      </c>
      <c r="H12" s="1">
        <v>3.9628020490185425</v>
      </c>
      <c r="I12" s="1"/>
    </row>
    <row r="13" spans="1:9" x14ac:dyDescent="0.45">
      <c r="A13">
        <v>12</v>
      </c>
      <c r="B13">
        <v>92</v>
      </c>
      <c r="C13">
        <v>98</v>
      </c>
      <c r="D13" t="s">
        <v>6</v>
      </c>
      <c r="E13">
        <v>18</v>
      </c>
      <c r="G13" s="1" t="s">
        <v>15</v>
      </c>
      <c r="H13" s="1">
        <v>1.5301150926720649E-4</v>
      </c>
      <c r="I13" s="1"/>
    </row>
    <row r="14" spans="1:9" x14ac:dyDescent="0.45">
      <c r="A14">
        <v>13</v>
      </c>
      <c r="B14">
        <v>90</v>
      </c>
      <c r="C14">
        <v>78</v>
      </c>
      <c r="D14" t="s">
        <v>6</v>
      </c>
      <c r="E14">
        <v>19</v>
      </c>
      <c r="G14" s="1" t="s">
        <v>16</v>
      </c>
      <c r="H14" s="1">
        <v>1.6848751217112248</v>
      </c>
      <c r="I14" s="1"/>
    </row>
    <row r="15" spans="1:9" x14ac:dyDescent="0.45">
      <c r="A15">
        <v>14</v>
      </c>
      <c r="B15">
        <v>50</v>
      </c>
      <c r="C15">
        <v>86</v>
      </c>
      <c r="D15" t="s">
        <v>5</v>
      </c>
      <c r="E15">
        <v>19</v>
      </c>
      <c r="G15" s="1" t="s">
        <v>17</v>
      </c>
      <c r="H15" s="1">
        <v>3.0602301853441298E-4</v>
      </c>
      <c r="I15" s="1"/>
    </row>
    <row r="16" spans="1:9" ht="14.65" thickBot="1" x14ac:dyDescent="0.5">
      <c r="A16">
        <v>15</v>
      </c>
      <c r="B16">
        <v>57</v>
      </c>
      <c r="C16">
        <v>97</v>
      </c>
      <c r="D16" t="s">
        <v>5</v>
      </c>
      <c r="E16">
        <v>21</v>
      </c>
      <c r="G16" s="2" t="s">
        <v>18</v>
      </c>
      <c r="H16" s="2">
        <v>2.0226909200367595</v>
      </c>
      <c r="I16" s="2"/>
    </row>
    <row r="17" spans="1:10" x14ac:dyDescent="0.45">
      <c r="A17">
        <v>16</v>
      </c>
      <c r="B17">
        <v>91</v>
      </c>
      <c r="C17">
        <v>90</v>
      </c>
      <c r="D17" t="s">
        <v>5</v>
      </c>
      <c r="E17">
        <v>17</v>
      </c>
    </row>
    <row r="18" spans="1:10" x14ac:dyDescent="0.45">
      <c r="A18">
        <v>17</v>
      </c>
      <c r="B18">
        <v>91</v>
      </c>
      <c r="C18">
        <v>84</v>
      </c>
      <c r="D18" t="s">
        <v>6</v>
      </c>
      <c r="E18">
        <v>18</v>
      </c>
      <c r="G18" t="s">
        <v>19</v>
      </c>
      <c r="H18" s="4">
        <v>3.9628020490185398</v>
      </c>
      <c r="J18" t="s">
        <v>31</v>
      </c>
    </row>
    <row r="19" spans="1:10" x14ac:dyDescent="0.45">
      <c r="A19">
        <v>18</v>
      </c>
      <c r="B19">
        <v>66</v>
      </c>
      <c r="C19">
        <v>89</v>
      </c>
      <c r="D19" t="s">
        <v>5</v>
      </c>
      <c r="E19">
        <v>21</v>
      </c>
      <c r="G19" t="s">
        <v>20</v>
      </c>
      <c r="H19" s="4">
        <v>-1.6848751217112199</v>
      </c>
      <c r="J19" t="s">
        <v>32</v>
      </c>
    </row>
    <row r="20" spans="1:10" x14ac:dyDescent="0.45">
      <c r="A20">
        <v>19</v>
      </c>
      <c r="B20">
        <v>54</v>
      </c>
      <c r="C20">
        <v>91</v>
      </c>
      <c r="D20" t="s">
        <v>6</v>
      </c>
      <c r="E20">
        <v>23</v>
      </c>
    </row>
    <row r="21" spans="1:10" x14ac:dyDescent="0.45">
      <c r="A21">
        <v>20</v>
      </c>
      <c r="B21">
        <v>59</v>
      </c>
      <c r="C21">
        <v>80</v>
      </c>
      <c r="D21" t="s">
        <v>6</v>
      </c>
      <c r="E21">
        <v>17</v>
      </c>
      <c r="G21" t="s">
        <v>21</v>
      </c>
      <c r="H21" t="s">
        <v>33</v>
      </c>
    </row>
    <row r="22" spans="1:10" x14ac:dyDescent="0.45">
      <c r="A22">
        <v>21</v>
      </c>
      <c r="B22">
        <v>67</v>
      </c>
      <c r="C22">
        <v>85</v>
      </c>
      <c r="D22" t="s">
        <v>6</v>
      </c>
      <c r="E22">
        <v>22</v>
      </c>
    </row>
    <row r="23" spans="1:10" x14ac:dyDescent="0.45">
      <c r="A23">
        <v>22</v>
      </c>
      <c r="B23">
        <v>65</v>
      </c>
      <c r="C23">
        <v>92</v>
      </c>
      <c r="D23" t="s">
        <v>6</v>
      </c>
      <c r="E23">
        <v>20</v>
      </c>
      <c r="G23" t="s">
        <v>22</v>
      </c>
      <c r="H23">
        <f>AVERAGEIF(D2:D41, "F", C2:C41)</f>
        <v>86.55</v>
      </c>
    </row>
    <row r="24" spans="1:10" x14ac:dyDescent="0.45">
      <c r="A24">
        <v>23</v>
      </c>
      <c r="B24">
        <v>90</v>
      </c>
      <c r="C24">
        <v>79</v>
      </c>
      <c r="D24" t="s">
        <v>5</v>
      </c>
      <c r="E24">
        <v>18</v>
      </c>
      <c r="G24" t="s">
        <v>23</v>
      </c>
      <c r="H24">
        <f>AVERAGEIF(D2:D41, "M", C2:C41)</f>
        <v>85.35</v>
      </c>
    </row>
    <row r="25" spans="1:10" x14ac:dyDescent="0.45">
      <c r="A25">
        <v>24</v>
      </c>
      <c r="B25">
        <v>52</v>
      </c>
      <c r="C25">
        <v>96</v>
      </c>
      <c r="D25" t="s">
        <v>6</v>
      </c>
      <c r="E25">
        <v>23</v>
      </c>
    </row>
    <row r="26" spans="1:10" x14ac:dyDescent="0.45">
      <c r="A26">
        <v>25</v>
      </c>
      <c r="B26">
        <v>93</v>
      </c>
      <c r="C26">
        <v>73</v>
      </c>
      <c r="D26" t="s">
        <v>6</v>
      </c>
      <c r="E26">
        <v>21</v>
      </c>
    </row>
    <row r="27" spans="1:10" x14ac:dyDescent="0.45">
      <c r="A27">
        <v>26</v>
      </c>
      <c r="B27">
        <v>50</v>
      </c>
      <c r="C27">
        <v>100</v>
      </c>
      <c r="D27" t="s">
        <v>5</v>
      </c>
      <c r="E27">
        <v>22</v>
      </c>
    </row>
    <row r="28" spans="1:10" x14ac:dyDescent="0.45">
      <c r="A28">
        <v>27</v>
      </c>
      <c r="B28">
        <v>89</v>
      </c>
      <c r="C28">
        <v>76</v>
      </c>
      <c r="D28" t="s">
        <v>6</v>
      </c>
      <c r="E28">
        <v>18</v>
      </c>
    </row>
    <row r="29" spans="1:10" x14ac:dyDescent="0.45">
      <c r="A29">
        <v>28</v>
      </c>
      <c r="B29">
        <v>75</v>
      </c>
      <c r="C29">
        <v>80</v>
      </c>
      <c r="D29" t="s">
        <v>5</v>
      </c>
      <c r="E29">
        <v>22</v>
      </c>
    </row>
    <row r="30" spans="1:10" x14ac:dyDescent="0.45">
      <c r="A30">
        <v>29</v>
      </c>
      <c r="B30">
        <v>76</v>
      </c>
      <c r="C30">
        <v>99</v>
      </c>
      <c r="D30" t="s">
        <v>6</v>
      </c>
      <c r="E30">
        <v>22</v>
      </c>
    </row>
    <row r="31" spans="1:10" x14ac:dyDescent="0.45">
      <c r="A31">
        <v>30</v>
      </c>
      <c r="B31">
        <v>84</v>
      </c>
      <c r="C31">
        <v>83</v>
      </c>
      <c r="D31" t="s">
        <v>5</v>
      </c>
      <c r="E31">
        <v>20</v>
      </c>
    </row>
    <row r="32" spans="1:10" x14ac:dyDescent="0.45">
      <c r="A32">
        <v>31</v>
      </c>
      <c r="B32">
        <v>92</v>
      </c>
      <c r="C32">
        <v>76</v>
      </c>
      <c r="D32" t="s">
        <v>5</v>
      </c>
      <c r="E32">
        <v>19</v>
      </c>
    </row>
    <row r="33" spans="1:5" x14ac:dyDescent="0.45">
      <c r="A33">
        <v>32</v>
      </c>
      <c r="B33">
        <v>73</v>
      </c>
      <c r="C33">
        <v>94</v>
      </c>
      <c r="D33" t="s">
        <v>6</v>
      </c>
      <c r="E33">
        <v>23</v>
      </c>
    </row>
    <row r="34" spans="1:5" x14ac:dyDescent="0.45">
      <c r="A34">
        <v>33</v>
      </c>
      <c r="B34">
        <v>70</v>
      </c>
      <c r="C34">
        <v>72</v>
      </c>
      <c r="D34" t="s">
        <v>5</v>
      </c>
      <c r="E34">
        <v>23</v>
      </c>
    </row>
    <row r="35" spans="1:5" x14ac:dyDescent="0.45">
      <c r="A35">
        <v>34</v>
      </c>
      <c r="B35">
        <v>66</v>
      </c>
      <c r="C35">
        <v>78</v>
      </c>
      <c r="D35" t="s">
        <v>5</v>
      </c>
      <c r="E35">
        <v>20</v>
      </c>
    </row>
    <row r="36" spans="1:5" x14ac:dyDescent="0.45">
      <c r="A36">
        <v>35</v>
      </c>
      <c r="B36">
        <v>88</v>
      </c>
      <c r="C36">
        <v>91</v>
      </c>
      <c r="D36" t="s">
        <v>5</v>
      </c>
      <c r="E36">
        <v>21</v>
      </c>
    </row>
    <row r="37" spans="1:5" x14ac:dyDescent="0.45">
      <c r="A37">
        <v>36</v>
      </c>
      <c r="B37">
        <v>85</v>
      </c>
      <c r="C37">
        <v>84</v>
      </c>
      <c r="D37" t="s">
        <v>6</v>
      </c>
      <c r="E37">
        <v>18</v>
      </c>
    </row>
    <row r="38" spans="1:5" x14ac:dyDescent="0.45">
      <c r="A38">
        <v>37</v>
      </c>
      <c r="B38">
        <v>55</v>
      </c>
      <c r="C38">
        <v>75</v>
      </c>
      <c r="D38" t="s">
        <v>6</v>
      </c>
      <c r="E38">
        <v>18</v>
      </c>
    </row>
    <row r="39" spans="1:5" x14ac:dyDescent="0.45">
      <c r="A39">
        <v>38</v>
      </c>
      <c r="B39">
        <v>60</v>
      </c>
      <c r="C39">
        <v>97</v>
      </c>
      <c r="D39" t="s">
        <v>6</v>
      </c>
      <c r="E39">
        <v>23</v>
      </c>
    </row>
    <row r="40" spans="1:5" x14ac:dyDescent="0.45">
      <c r="A40">
        <v>39</v>
      </c>
      <c r="B40">
        <v>82</v>
      </c>
      <c r="C40">
        <v>77</v>
      </c>
      <c r="D40" t="s">
        <v>5</v>
      </c>
      <c r="E40">
        <v>23</v>
      </c>
    </row>
    <row r="41" spans="1:5" x14ac:dyDescent="0.45">
      <c r="A41">
        <v>40</v>
      </c>
      <c r="B41">
        <v>90</v>
      </c>
      <c r="C41">
        <v>86</v>
      </c>
      <c r="D41" t="s">
        <v>5</v>
      </c>
      <c r="E4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8521-59ED-424F-A63A-856ABB69B557}">
  <dimension ref="A3:H44"/>
  <sheetViews>
    <sheetView workbookViewId="0">
      <selection activeCell="J23" sqref="J23"/>
    </sheetView>
  </sheetViews>
  <sheetFormatPr defaultRowHeight="14.25" x14ac:dyDescent="0.45"/>
  <cols>
    <col min="1" max="1" width="23.19921875" bestFit="1" customWidth="1"/>
    <col min="2" max="2" width="14.73046875" bestFit="1" customWidth="1"/>
    <col min="3" max="3" width="3.73046875" bestFit="1" customWidth="1"/>
    <col min="4" max="4" width="10.19921875" bestFit="1" customWidth="1"/>
    <col min="5" max="5" width="37.19921875" bestFit="1" customWidth="1"/>
  </cols>
  <sheetData>
    <row r="3" spans="1:7" x14ac:dyDescent="0.45">
      <c r="A3" s="5" t="s">
        <v>26</v>
      </c>
      <c r="B3" s="5" t="s">
        <v>24</v>
      </c>
      <c r="E3" t="s">
        <v>27</v>
      </c>
    </row>
    <row r="4" spans="1:7" ht="14.65" thickBot="1" x14ac:dyDescent="0.5">
      <c r="A4" s="5" t="s">
        <v>25</v>
      </c>
      <c r="B4" t="s">
        <v>6</v>
      </c>
      <c r="C4" t="s">
        <v>5</v>
      </c>
    </row>
    <row r="5" spans="1:7" x14ac:dyDescent="0.45">
      <c r="A5" s="6">
        <v>1</v>
      </c>
      <c r="B5" s="7"/>
      <c r="C5" s="7">
        <v>72</v>
      </c>
      <c r="E5" s="3"/>
      <c r="F5" s="3" t="s">
        <v>6</v>
      </c>
      <c r="G5" s="3" t="s">
        <v>5</v>
      </c>
    </row>
    <row r="6" spans="1:7" x14ac:dyDescent="0.45">
      <c r="A6" s="6">
        <v>2</v>
      </c>
      <c r="B6" s="7">
        <v>91</v>
      </c>
      <c r="C6" s="7"/>
      <c r="E6" s="1" t="s">
        <v>8</v>
      </c>
      <c r="F6" s="1">
        <v>86.55</v>
      </c>
      <c r="G6" s="1">
        <v>85.35</v>
      </c>
    </row>
    <row r="7" spans="1:7" x14ac:dyDescent="0.45">
      <c r="A7" s="6">
        <v>3</v>
      </c>
      <c r="B7" s="7">
        <v>87</v>
      </c>
      <c r="C7" s="7"/>
      <c r="E7" s="1" t="s">
        <v>9</v>
      </c>
      <c r="F7" s="1">
        <v>67.523684210526312</v>
      </c>
      <c r="G7" s="1">
        <v>70.344736842105249</v>
      </c>
    </row>
    <row r="8" spans="1:7" x14ac:dyDescent="0.45">
      <c r="A8" s="6">
        <v>4</v>
      </c>
      <c r="B8" s="7"/>
      <c r="C8" s="7">
        <v>79</v>
      </c>
      <c r="E8" s="1" t="s">
        <v>10</v>
      </c>
      <c r="F8" s="1">
        <v>20</v>
      </c>
      <c r="G8" s="1">
        <v>20</v>
      </c>
    </row>
    <row r="9" spans="1:7" x14ac:dyDescent="0.45">
      <c r="A9" s="6">
        <v>5</v>
      </c>
      <c r="B9" s="7"/>
      <c r="C9" s="7">
        <v>94</v>
      </c>
      <c r="E9" s="1" t="s">
        <v>28</v>
      </c>
      <c r="F9" s="1">
        <v>68.93421052631578</v>
      </c>
      <c r="G9" s="1"/>
    </row>
    <row r="10" spans="1:7" x14ac:dyDescent="0.45">
      <c r="A10" s="6">
        <v>6</v>
      </c>
      <c r="B10" s="7"/>
      <c r="C10" s="7">
        <v>93</v>
      </c>
      <c r="E10" s="1" t="s">
        <v>12</v>
      </c>
      <c r="F10" s="1">
        <v>0</v>
      </c>
      <c r="G10" s="1"/>
    </row>
    <row r="11" spans="1:7" x14ac:dyDescent="0.45">
      <c r="A11" s="6">
        <v>7</v>
      </c>
      <c r="B11" s="7">
        <v>88</v>
      </c>
      <c r="C11" s="7"/>
      <c r="E11" s="1" t="s">
        <v>13</v>
      </c>
      <c r="F11" s="1">
        <v>38</v>
      </c>
      <c r="G11" s="1"/>
    </row>
    <row r="12" spans="1:7" x14ac:dyDescent="0.45">
      <c r="A12" s="6">
        <v>8</v>
      </c>
      <c r="B12" s="7"/>
      <c r="C12" s="7">
        <v>93</v>
      </c>
      <c r="E12" s="1" t="s">
        <v>14</v>
      </c>
      <c r="F12" s="1">
        <v>0.45705013648079262</v>
      </c>
      <c r="G12" s="1"/>
    </row>
    <row r="13" spans="1:7" x14ac:dyDescent="0.45">
      <c r="A13" s="6">
        <v>9</v>
      </c>
      <c r="B13" s="7">
        <v>87</v>
      </c>
      <c r="C13" s="7"/>
      <c r="E13" s="1" t="s">
        <v>15</v>
      </c>
      <c r="F13" s="1">
        <v>0.32511861011901855</v>
      </c>
      <c r="G13" s="1"/>
    </row>
    <row r="14" spans="1:7" x14ac:dyDescent="0.45">
      <c r="A14" s="6">
        <v>10</v>
      </c>
      <c r="B14" s="7">
        <v>76</v>
      </c>
      <c r="C14" s="7"/>
      <c r="E14" s="1" t="s">
        <v>16</v>
      </c>
      <c r="F14" s="1">
        <v>1.6859544601667387</v>
      </c>
      <c r="G14" s="1"/>
    </row>
    <row r="15" spans="1:7" x14ac:dyDescent="0.45">
      <c r="A15" s="6">
        <v>11</v>
      </c>
      <c r="B15" s="7"/>
      <c r="C15" s="7">
        <v>92</v>
      </c>
      <c r="E15" s="1" t="s">
        <v>17</v>
      </c>
      <c r="F15" s="1">
        <v>0.65023722023803709</v>
      </c>
      <c r="G15" s="1"/>
    </row>
    <row r="16" spans="1:7" ht="14.65" thickBot="1" x14ac:dyDescent="0.5">
      <c r="A16" s="6">
        <v>12</v>
      </c>
      <c r="B16" s="7">
        <v>98</v>
      </c>
      <c r="C16" s="7"/>
      <c r="E16" s="2" t="s">
        <v>18</v>
      </c>
      <c r="F16" s="2">
        <v>2.0243941639119702</v>
      </c>
      <c r="G16" s="2"/>
    </row>
    <row r="17" spans="1:8" x14ac:dyDescent="0.45">
      <c r="A17" s="6">
        <v>13</v>
      </c>
      <c r="B17" s="7">
        <v>78</v>
      </c>
      <c r="C17" s="7"/>
    </row>
    <row r="18" spans="1:8" x14ac:dyDescent="0.45">
      <c r="A18" s="6">
        <v>14</v>
      </c>
      <c r="B18" s="7"/>
      <c r="C18" s="7">
        <v>86</v>
      </c>
      <c r="E18" t="s">
        <v>19</v>
      </c>
      <c r="F18" s="4">
        <v>0.45705013648079262</v>
      </c>
      <c r="H18" t="s">
        <v>29</v>
      </c>
    </row>
    <row r="19" spans="1:8" x14ac:dyDescent="0.45">
      <c r="A19" s="6">
        <v>15</v>
      </c>
      <c r="B19" s="7"/>
      <c r="C19" s="7">
        <v>97</v>
      </c>
      <c r="E19" t="s">
        <v>20</v>
      </c>
      <c r="F19" s="4">
        <f>-2.02439416391197</f>
        <v>-2.0243941639119698</v>
      </c>
      <c r="G19" s="8">
        <f>2.02439416391197</f>
        <v>2.0243941639119698</v>
      </c>
      <c r="H19" t="s">
        <v>30</v>
      </c>
    </row>
    <row r="20" spans="1:8" x14ac:dyDescent="0.45">
      <c r="A20" s="6">
        <v>16</v>
      </c>
      <c r="B20" s="7"/>
      <c r="C20" s="7">
        <v>90</v>
      </c>
    </row>
    <row r="21" spans="1:8" x14ac:dyDescent="0.45">
      <c r="A21" s="6">
        <v>17</v>
      </c>
      <c r="B21" s="7">
        <v>84</v>
      </c>
      <c r="C21" s="7"/>
      <c r="E21" t="s">
        <v>21</v>
      </c>
      <c r="F21" t="s">
        <v>33</v>
      </c>
    </row>
    <row r="22" spans="1:8" x14ac:dyDescent="0.45">
      <c r="A22" s="6">
        <v>18</v>
      </c>
      <c r="B22" s="7"/>
      <c r="C22" s="7">
        <v>89</v>
      </c>
    </row>
    <row r="23" spans="1:8" x14ac:dyDescent="0.45">
      <c r="A23" s="6">
        <v>19</v>
      </c>
      <c r="B23" s="7">
        <v>91</v>
      </c>
      <c r="C23" s="7"/>
    </row>
    <row r="24" spans="1:8" x14ac:dyDescent="0.45">
      <c r="A24" s="6">
        <v>20</v>
      </c>
      <c r="B24" s="7">
        <v>80</v>
      </c>
      <c r="C24" s="7"/>
    </row>
    <row r="25" spans="1:8" x14ac:dyDescent="0.45">
      <c r="A25" s="6">
        <v>21</v>
      </c>
      <c r="B25" s="7">
        <v>85</v>
      </c>
      <c r="C25" s="7"/>
    </row>
    <row r="26" spans="1:8" x14ac:dyDescent="0.45">
      <c r="A26" s="6">
        <v>22</v>
      </c>
      <c r="B26" s="7">
        <v>92</v>
      </c>
      <c r="C26" s="7"/>
    </row>
    <row r="27" spans="1:8" x14ac:dyDescent="0.45">
      <c r="A27" s="6">
        <v>23</v>
      </c>
      <c r="B27" s="7"/>
      <c r="C27" s="7">
        <v>79</v>
      </c>
    </row>
    <row r="28" spans="1:8" x14ac:dyDescent="0.45">
      <c r="A28" s="6">
        <v>24</v>
      </c>
      <c r="B28" s="7">
        <v>96</v>
      </c>
      <c r="C28" s="7"/>
    </row>
    <row r="29" spans="1:8" x14ac:dyDescent="0.45">
      <c r="A29" s="6">
        <v>25</v>
      </c>
      <c r="B29" s="7">
        <v>73</v>
      </c>
      <c r="C29" s="7"/>
    </row>
    <row r="30" spans="1:8" x14ac:dyDescent="0.45">
      <c r="A30" s="6">
        <v>26</v>
      </c>
      <c r="B30" s="7"/>
      <c r="C30" s="7">
        <v>100</v>
      </c>
    </row>
    <row r="31" spans="1:8" x14ac:dyDescent="0.45">
      <c r="A31" s="6">
        <v>27</v>
      </c>
      <c r="B31" s="7">
        <v>76</v>
      </c>
      <c r="C31" s="7"/>
    </row>
    <row r="32" spans="1:8" x14ac:dyDescent="0.45">
      <c r="A32" s="6">
        <v>28</v>
      </c>
      <c r="B32" s="7"/>
      <c r="C32" s="7">
        <v>80</v>
      </c>
    </row>
    <row r="33" spans="1:3" x14ac:dyDescent="0.45">
      <c r="A33" s="6">
        <v>29</v>
      </c>
      <c r="B33" s="7">
        <v>99</v>
      </c>
      <c r="C33" s="7"/>
    </row>
    <row r="34" spans="1:3" x14ac:dyDescent="0.45">
      <c r="A34" s="6">
        <v>30</v>
      </c>
      <c r="B34" s="7"/>
      <c r="C34" s="7">
        <v>83</v>
      </c>
    </row>
    <row r="35" spans="1:3" x14ac:dyDescent="0.45">
      <c r="A35" s="6">
        <v>31</v>
      </c>
      <c r="B35" s="7"/>
      <c r="C35" s="7">
        <v>76</v>
      </c>
    </row>
    <row r="36" spans="1:3" x14ac:dyDescent="0.45">
      <c r="A36" s="6">
        <v>32</v>
      </c>
      <c r="B36" s="7">
        <v>94</v>
      </c>
      <c r="C36" s="7"/>
    </row>
    <row r="37" spans="1:3" x14ac:dyDescent="0.45">
      <c r="A37" s="6">
        <v>33</v>
      </c>
      <c r="B37" s="7"/>
      <c r="C37" s="7">
        <v>72</v>
      </c>
    </row>
    <row r="38" spans="1:3" x14ac:dyDescent="0.45">
      <c r="A38" s="6">
        <v>34</v>
      </c>
      <c r="B38" s="7"/>
      <c r="C38" s="7">
        <v>78</v>
      </c>
    </row>
    <row r="39" spans="1:3" x14ac:dyDescent="0.45">
      <c r="A39" s="6">
        <v>35</v>
      </c>
      <c r="B39" s="7"/>
      <c r="C39" s="7">
        <v>91</v>
      </c>
    </row>
    <row r="40" spans="1:3" x14ac:dyDescent="0.45">
      <c r="A40" s="6">
        <v>36</v>
      </c>
      <c r="B40" s="7">
        <v>84</v>
      </c>
      <c r="C40" s="7"/>
    </row>
    <row r="41" spans="1:3" x14ac:dyDescent="0.45">
      <c r="A41" s="6">
        <v>37</v>
      </c>
      <c r="B41" s="7">
        <v>75</v>
      </c>
      <c r="C41" s="7"/>
    </row>
    <row r="42" spans="1:3" x14ac:dyDescent="0.45">
      <c r="A42" s="6">
        <v>38</v>
      </c>
      <c r="B42" s="7">
        <v>97</v>
      </c>
      <c r="C42" s="7"/>
    </row>
    <row r="43" spans="1:3" x14ac:dyDescent="0.45">
      <c r="A43" s="6">
        <v>39</v>
      </c>
      <c r="B43" s="7"/>
      <c r="C43" s="7">
        <v>77</v>
      </c>
    </row>
    <row r="44" spans="1:3" x14ac:dyDescent="0.45">
      <c r="A44" s="6">
        <v>40</v>
      </c>
      <c r="B44" s="7"/>
      <c r="C44" s="7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 Scores</vt:lpstr>
      <vt:lpstr>Intern Scores by 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Mou</dc:creator>
  <cp:lastModifiedBy>Grace Edith Molina Chavez</cp:lastModifiedBy>
  <dcterms:created xsi:type="dcterms:W3CDTF">2016-12-11T08:55:00Z</dcterms:created>
  <dcterms:modified xsi:type="dcterms:W3CDTF">2026-09-01T00:08:52Z</dcterms:modified>
</cp:coreProperties>
</file>